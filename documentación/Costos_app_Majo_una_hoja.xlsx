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#,##0.0;(#,##0.0);&quot;-&quot;"/>
    <numFmt numFmtId="167" formatCode="$#,##0.00;($#,##0.00);&quot;-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</font>
    <font>
      <name val="Arial"/>
      <b val="1"/>
      <sz val="12"/>
    </font>
    <font>
      <name val="Arial"/>
      <b val="1"/>
      <color rgb="00FFFFFF"/>
    </font>
    <font>
      <name val="Arial"/>
    </font>
    <font>
      <name val="Arial"/>
      <color rgb="000000FF"/>
    </font>
    <font>
      <name val="Arial"/>
      <color rgb="00595959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4" fontId="6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4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166" fontId="6" fillId="0" borderId="1" applyAlignment="1" pivotButton="0" quotePrefix="0" xfId="0">
      <alignment vertical="top" wrapText="1"/>
    </xf>
    <xf numFmtId="167" fontId="5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0" fillId="0" borderId="1" pivotButton="0" quotePrefix="0" xfId="0"/>
    <xf numFmtId="166" fontId="8" fillId="0" borderId="1" applyAlignment="1" pivotButton="0" quotePrefix="0" xfId="0">
      <alignment vertical="top" wrapText="1"/>
    </xf>
    <xf numFmtId="167" fontId="8" fillId="0" borderId="1" applyAlignment="1" pivotButton="0" quotePrefix="0" xfId="0">
      <alignment vertical="top" wrapText="1"/>
    </xf>
    <xf numFmtId="166" fontId="5" fillId="0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0" fillId="5" borderId="1" pivotButton="0" quotePrefix="0" xfId="0"/>
    <xf numFmtId="166" fontId="8" fillId="5" borderId="1" applyAlignment="1" pivotButton="0" quotePrefix="0" xfId="0">
      <alignment vertical="top" wrapText="1"/>
    </xf>
    <xf numFmtId="167" fontId="8" fillId="5" borderId="1" applyAlignment="1" pivotButton="0" quotePrefix="0" xfId="0">
      <alignment vertical="top" wrapText="1"/>
    </xf>
    <xf numFmtId="167" fontId="6" fillId="0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167" fontId="8" fillId="6" borderId="1" applyAlignment="1" pivotButton="0" quotePrefix="0" xfId="0">
      <alignment vertical="top" wrapText="1"/>
    </xf>
    <xf numFmtId="0" fontId="0" fillId="6" borderId="1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52" customWidth="1" min="3" max="3"/>
    <col width="30" customWidth="1" min="4" max="4"/>
    <col width="16" customWidth="1" min="5" max="5"/>
    <col width="18" customWidth="1" min="6" max="6"/>
  </cols>
  <sheetData>
    <row r="1">
      <c r="A1" s="1" t="inlineStr">
        <is>
          <t>Tabla de costos – App de administración Majo</t>
        </is>
      </c>
    </row>
    <row r="2">
      <c r="A2" s="2" t="inlineStr">
        <is>
          <t>Basada en Requerimientos_app_Majo.docx. Montos en USD. Celdas azules con fondo amarillo: editables; el resto se recalcula.</t>
        </is>
      </c>
    </row>
    <row r="4">
      <c r="A4" s="3" t="inlineStr">
        <is>
          <t>1. Supuestos</t>
        </is>
      </c>
    </row>
    <row r="5">
      <c r="A5" s="4" t="inlineStr">
        <is>
          <t>Supuesto</t>
        </is>
      </c>
      <c r="B5" s="4" t="inlineStr"/>
      <c r="C5" s="4" t="inlineStr"/>
      <c r="D5" s="4" t="inlineStr"/>
      <c r="E5" s="4" t="inlineStr">
        <is>
          <t>Valor</t>
        </is>
      </c>
      <c r="F5" s="4" t="inlineStr">
        <is>
          <t>Nota</t>
        </is>
      </c>
    </row>
    <row r="6">
      <c r="A6" s="5" t="inlineStr">
        <is>
          <t>Tarifa por hora del desarrollador (USD)</t>
        </is>
      </c>
      <c r="E6" s="6" t="n">
        <v>20</v>
      </c>
      <c r="F6" s="7" t="inlineStr">
        <is>
          <t>Promedio freelance en Ecuador; ajustar a la tarifa real.</t>
        </is>
      </c>
    </row>
    <row r="7">
      <c r="A7" s="5" t="inlineStr">
        <is>
          <t>Pruebas y control de calidad (% de horas de desarrollo)</t>
        </is>
      </c>
      <c r="E7" s="8" t="n">
        <v>0.15</v>
      </c>
      <c r="F7" s="7" t="inlineStr">
        <is>
          <t>Pruebas automáticas y en celular.</t>
        </is>
      </c>
    </row>
    <row r="8">
      <c r="A8" s="5" t="inlineStr">
        <is>
          <t>Gestión del proyecto (% de horas de desarrollo)</t>
        </is>
      </c>
      <c r="E8" s="8" t="n">
        <v>0.1</v>
      </c>
      <c r="F8" s="7" t="inlineStr">
        <is>
          <t>Reuniones con Majo y seguimiento.</t>
        </is>
      </c>
    </row>
    <row r="9">
      <c r="A9" s="5" t="inlineStr">
        <is>
          <t>Contingencia (% del subtotal)</t>
        </is>
      </c>
      <c r="E9" s="8" t="n">
        <v>0.1</v>
      </c>
      <c r="F9" s="7" t="inlineStr">
        <is>
          <t>Cubre las 11 preguntas abiertas.</t>
        </is>
      </c>
    </row>
    <row r="10">
      <c r="A10" s="5" t="inlineStr">
        <is>
          <t>Mensajes de WhatsApp al mes</t>
        </is>
      </c>
      <c r="E10" s="9" t="n">
        <v>900</v>
      </c>
      <c r="F10" s="7" t="inlineStr">
        <is>
          <t>≈10 obligaciones/día × 3 avisos + repeticiones.</t>
        </is>
      </c>
    </row>
    <row r="11">
      <c r="A11" s="5" t="inlineStr">
        <is>
          <t>Costo por mensaje de WhatsApp (USD)</t>
        </is>
      </c>
      <c r="E11" s="10" t="n">
        <v>0.01</v>
      </c>
      <c r="F11" s="7" t="inlineStr">
        <is>
          <t>Meta Cloud API, plantilla de utilidad; verificar tarifa vigente.</t>
        </is>
      </c>
    </row>
    <row r="12">
      <c r="A12" s="5" t="inlineStr">
        <is>
          <t>Horas de soporte al mes – económico</t>
        </is>
      </c>
      <c r="E12" s="9" t="n">
        <v>2</v>
      </c>
      <c r="F12" s="7" t="inlineStr">
        <is>
          <t>Correcciones menores.</t>
        </is>
      </c>
    </row>
    <row r="13">
      <c r="A13" s="5" t="inlineStr">
        <is>
          <t>Horas de soporte al mes – recomendado</t>
        </is>
      </c>
      <c r="E13" s="9" t="n">
        <v>4</v>
      </c>
      <c r="F13" s="7" t="inlineStr">
        <is>
          <t>Correcciones y actualizaciones de seguridad.</t>
        </is>
      </c>
    </row>
    <row r="14">
      <c r="A14" s="5" t="inlineStr">
        <is>
          <t>Dominio .com al año (USD)</t>
        </is>
      </c>
      <c r="E14" s="6" t="n">
        <v>12</v>
      </c>
      <c r="F14" s="7" t="inlineStr">
        <is>
          <t>.ec cuesta ≈35–40 USD/año.</t>
        </is>
      </c>
    </row>
    <row r="16">
      <c r="A16" s="3" t="inlineStr">
        <is>
          <t>2. Costo de elaboración (pago único)</t>
        </is>
      </c>
    </row>
    <row r="17">
      <c r="A17" s="4" t="inlineStr">
        <is>
          <t>Fase</t>
        </is>
      </c>
      <c r="B17" s="4" t="inlineStr">
        <is>
          <t>Módulo</t>
        </is>
      </c>
      <c r="C17" s="4" t="inlineStr">
        <is>
          <t>Actividad</t>
        </is>
      </c>
      <c r="D17" s="4" t="inlineStr">
        <is>
          <t>Requerimientos</t>
        </is>
      </c>
      <c r="E17" s="4" t="inlineStr">
        <is>
          <t>Horas</t>
        </is>
      </c>
      <c r="F17" s="4" t="inlineStr">
        <is>
          <t>Costo (USD)</t>
        </is>
      </c>
    </row>
    <row r="18">
      <c r="A18" s="5" t="inlineStr">
        <is>
          <t>0</t>
        </is>
      </c>
      <c r="B18" s="5" t="inlineStr">
        <is>
          <t>Inicio</t>
        </is>
      </c>
      <c r="C18" s="5" t="inlineStr">
        <is>
          <t>Levantamiento de requerimientos (audios, transcripción, documento)</t>
        </is>
      </c>
      <c r="D18" s="5" t="inlineStr">
        <is>
          <t>—</t>
        </is>
      </c>
      <c r="E18" s="11" t="n">
        <v>12</v>
      </c>
      <c r="F18" s="12">
        <f>E18*$E$6</f>
        <v/>
      </c>
    </row>
    <row r="19">
      <c r="A19" s="5" t="inlineStr">
        <is>
          <t>0</t>
        </is>
      </c>
      <c r="B19" s="5" t="inlineStr">
        <is>
          <t>Inicio</t>
        </is>
      </c>
      <c r="C19" s="5" t="inlineStr">
        <is>
          <t>Diseño de pantallas y base de datos (roles, seguridad)</t>
        </is>
      </c>
      <c r="D19" s="5" t="inlineStr">
        <is>
          <t>RNF-01, 02, 04</t>
        </is>
      </c>
      <c r="E19" s="11" t="n">
        <v>20</v>
      </c>
      <c r="F19" s="12">
        <f>E19*$E$6</f>
        <v/>
      </c>
    </row>
    <row r="20">
      <c r="A20" s="5" t="inlineStr">
        <is>
          <t>0</t>
        </is>
      </c>
      <c r="B20" s="5" t="inlineStr">
        <is>
          <t>Inicio</t>
        </is>
      </c>
      <c r="C20" s="5" t="inlineStr">
        <is>
          <t>Configuración del proyecto, inicio de sesión y despliegue</t>
        </is>
      </c>
      <c r="D20" s="5" t="inlineStr">
        <is>
          <t>RNF-04, 05</t>
        </is>
      </c>
      <c r="E20" s="11" t="n">
        <v>16</v>
      </c>
      <c r="F20" s="12">
        <f>E20*$E$6</f>
        <v/>
      </c>
    </row>
    <row r="21">
      <c r="A21" s="5" t="inlineStr">
        <is>
          <t>1</t>
        </is>
      </c>
      <c r="B21" s="5" t="inlineStr">
        <is>
          <t>M1 Recordatorios</t>
        </is>
      </c>
      <c r="C21" s="5" t="inlineStr">
        <is>
          <t>Registro de obligaciones con frecuencia y responsable</t>
        </is>
      </c>
      <c r="D21" s="5" t="inlineStr">
        <is>
          <t>RF-01</t>
        </is>
      </c>
      <c r="E21" s="11" t="n">
        <v>14</v>
      </c>
      <c r="F21" s="12">
        <f>E21*$E$6</f>
        <v/>
      </c>
    </row>
    <row r="22">
      <c r="A22" s="5" t="inlineStr">
        <is>
          <t>1</t>
        </is>
      </c>
      <c r="B22" s="5" t="inlineStr">
        <is>
          <t>M1 Recordatorios</t>
        </is>
      </c>
      <c r="C22" s="5" t="inlineStr">
        <is>
          <t>Motor de avisos programados con anticipación configurable</t>
        </is>
      </c>
      <c r="D22" s="5" t="inlineStr">
        <is>
          <t>RF-02, 03, RNF-08</t>
        </is>
      </c>
      <c r="E22" s="11" t="n">
        <v>14</v>
      </c>
      <c r="F22" s="12">
        <f>E22*$E$6</f>
        <v/>
      </c>
    </row>
    <row r="23">
      <c r="A23" s="5" t="inlineStr">
        <is>
          <t>1</t>
        </is>
      </c>
      <c r="B23" s="5" t="inlineStr">
        <is>
          <t>M1 Recordatorios</t>
        </is>
      </c>
      <c r="C23" s="5" t="inlineStr">
        <is>
          <t>Integración WhatsApp Cloud API y correo alternativo</t>
        </is>
      </c>
      <c r="D23" s="5" t="inlineStr">
        <is>
          <t>RF-02, RNF-03</t>
        </is>
      </c>
      <c r="E23" s="11" t="n">
        <v>12</v>
      </c>
      <c r="F23" s="12">
        <f>E23*$E$6</f>
        <v/>
      </c>
    </row>
    <row r="24">
      <c r="A24" s="5" t="inlineStr">
        <is>
          <t>1</t>
        </is>
      </c>
      <c r="B24" s="5" t="inlineStr">
        <is>
          <t>M1 Recordatorios</t>
        </is>
      </c>
      <c r="C24" s="5" t="inlineStr">
        <is>
          <t>Aviso a responsable de respaldo y marcar "hecho"</t>
        </is>
      </c>
      <c r="D24" s="5" t="inlineStr">
        <is>
          <t>RF-04, 05</t>
        </is>
      </c>
      <c r="E24" s="11" t="n">
        <v>10</v>
      </c>
      <c r="F24" s="12">
        <f>E24*$E$6</f>
        <v/>
      </c>
    </row>
    <row r="25">
      <c r="A25" s="5" t="inlineStr">
        <is>
          <t>1</t>
        </is>
      </c>
      <c r="B25" s="5" t="inlineStr">
        <is>
          <t>M1 Recordatorios</t>
        </is>
      </c>
      <c r="C25" s="5" t="inlineStr">
        <is>
          <t>Pantalla "Hoy y esta semana" y obligaciones precargadas</t>
        </is>
      </c>
      <c r="D25" s="5" t="inlineStr">
        <is>
          <t>RF-06, 07</t>
        </is>
      </c>
      <c r="E25" s="11" t="n">
        <v>10</v>
      </c>
      <c r="F25" s="12">
        <f>E25*$E$6</f>
        <v/>
      </c>
    </row>
    <row r="26">
      <c r="A26" s="5" t="inlineStr">
        <is>
          <t>1</t>
        </is>
      </c>
      <c r="B26" s="5" t="inlineStr">
        <is>
          <t>M1 Recordatorios</t>
        </is>
      </c>
      <c r="C26" s="5" t="inlineStr">
        <is>
          <t>Panel de administración con gráficas</t>
        </is>
      </c>
      <c r="D26" s="5" t="inlineStr">
        <is>
          <t>RF-05, RNF-04</t>
        </is>
      </c>
      <c r="E26" s="11" t="n">
        <v>20</v>
      </c>
      <c r="F26" s="12">
        <f>E26*$E$6</f>
        <v/>
      </c>
    </row>
    <row r="27">
      <c r="A27" s="5" t="inlineStr">
        <is>
          <t>1</t>
        </is>
      </c>
      <c r="B27" s="5" t="inlineStr">
        <is>
          <t>M2 Favorita</t>
        </is>
      </c>
      <c r="C27" s="5" t="inlineStr">
        <is>
          <t>Enlace semanal de oferta y avisos hasta el miércoles 19:00</t>
        </is>
      </c>
      <c r="D27" s="5" t="inlineStr">
        <is>
          <t>RF-08</t>
        </is>
      </c>
      <c r="E27" s="11" t="n">
        <v>8</v>
      </c>
      <c r="F27" s="12">
        <f>E27*$E$6</f>
        <v/>
      </c>
    </row>
    <row r="28">
      <c r="A28" s="5" t="inlineStr">
        <is>
          <t>1</t>
        </is>
      </c>
      <c r="B28" s="5" t="inlineStr">
        <is>
          <t>M2 Favorita</t>
        </is>
      </c>
      <c r="C28" s="5" t="inlineStr">
        <is>
          <t>Catálogo de productos y oferta lista para copiar</t>
        </is>
      </c>
      <c r="D28" s="5" t="inlineStr">
        <is>
          <t>RF-09, 10</t>
        </is>
      </c>
      <c r="E28" s="11" t="n">
        <v>14</v>
      </c>
      <c r="F28" s="12">
        <f>E28*$E$6</f>
        <v/>
      </c>
    </row>
    <row r="29">
      <c r="A29" s="5" t="inlineStr">
        <is>
          <t>1</t>
        </is>
      </c>
      <c r="B29" s="5" t="inlineStr">
        <is>
          <t>M2 Favorita</t>
        </is>
      </c>
      <c r="C29" s="5" t="inlineStr">
        <is>
          <t>Control de capacidad de buseta (100 javas)</t>
        </is>
      </c>
      <c r="D29" s="5" t="inlineStr">
        <is>
          <t>RF-11</t>
        </is>
      </c>
      <c r="E29" s="11" t="n">
        <v>4</v>
      </c>
      <c r="F29" s="12">
        <f>E29*$E$6</f>
        <v/>
      </c>
    </row>
    <row r="30">
      <c r="A30" s="5" t="inlineStr">
        <is>
          <t>1</t>
        </is>
      </c>
      <c r="B30" s="5" t="inlineStr">
        <is>
          <t>M2 Favorita</t>
        </is>
      </c>
      <c r="C30" s="5" t="inlineStr">
        <is>
          <t>Órdenes de compra, hora de entrega y alerta sin factura</t>
        </is>
      </c>
      <c r="D30" s="5" t="inlineStr">
        <is>
          <t>RF-12, 13</t>
        </is>
      </c>
      <c r="E30" s="11" t="n">
        <v>14</v>
      </c>
      <c r="F30" s="12">
        <f>E30*$E$6</f>
        <v/>
      </c>
    </row>
    <row r="31">
      <c r="A31" s="5" t="inlineStr">
        <is>
          <t>1</t>
        </is>
      </c>
      <c r="B31" s="5" t="inlineStr">
        <is>
          <t>M3 Pagos</t>
        </is>
      </c>
      <c r="C31" s="5" t="inlineStr">
        <is>
          <t>Préstamos y pagos recurrentes con aviso de transferencia</t>
        </is>
      </c>
      <c r="D31" s="5" t="inlineStr">
        <is>
          <t>RF-15, 16</t>
        </is>
      </c>
      <c r="E31" s="11" t="n">
        <v>14</v>
      </c>
      <c r="F31" s="12">
        <f>E31*$E$6</f>
        <v/>
      </c>
    </row>
    <row r="32">
      <c r="A32" s="5" t="inlineStr">
        <is>
          <t>1</t>
        </is>
      </c>
      <c r="B32" s="5" t="inlineStr">
        <is>
          <t>M3 Pagos</t>
        </is>
      </c>
      <c r="C32" s="5" t="inlineStr">
        <is>
          <t>Calendario mensual de pagos y total por semana</t>
        </is>
      </c>
      <c r="D32" s="5" t="inlineStr">
        <is>
          <t>RF-17</t>
        </is>
      </c>
      <c r="E32" s="11" t="n">
        <v>12</v>
      </c>
      <c r="F32" s="12">
        <f>E32*$E$6</f>
        <v/>
      </c>
    </row>
    <row r="33">
      <c r="A33" s="5" t="inlineStr">
        <is>
          <t>1</t>
        </is>
      </c>
      <c r="B33" s="5" t="inlineStr">
        <is>
          <t>M3 Pagos</t>
        </is>
      </c>
      <c r="C33" s="5" t="inlineStr">
        <is>
          <t>Registro de cheques posfechados</t>
        </is>
      </c>
      <c r="D33" s="5" t="inlineStr">
        <is>
          <t>RF-18</t>
        </is>
      </c>
      <c r="E33" s="11" t="n">
        <v>6</v>
      </c>
      <c r="F33" s="12">
        <f>E33*$E$6</f>
        <v/>
      </c>
    </row>
    <row r="34">
      <c r="A34" s="5" t="inlineStr">
        <is>
          <t>1</t>
        </is>
      </c>
      <c r="B34" s="5" t="inlineStr">
        <is>
          <t>M4 Proveedores</t>
        </is>
      </c>
      <c r="C34" s="5" t="inlineStr">
        <is>
          <t>Pedido diario de champiñón (corte 9:00) y alerta de fin de semana</t>
        </is>
      </c>
      <c r="D34" s="5" t="inlineStr">
        <is>
          <t>RF-19, 20</t>
        </is>
      </c>
      <c r="E34" s="11" t="n">
        <v>10</v>
      </c>
      <c r="F34" s="12">
        <f>E34*$E$6</f>
        <v/>
      </c>
    </row>
    <row r="35">
      <c r="A35" s="5" t="inlineStr">
        <is>
          <t>1</t>
        </is>
      </c>
      <c r="B35" s="5" t="inlineStr">
        <is>
          <t>M4 Proveedores</t>
        </is>
      </c>
      <c r="C35" s="5" t="inlineStr">
        <is>
          <t>Pedido de etiquetas e historial por proveedor</t>
        </is>
      </c>
      <c r="D35" s="5" t="inlineStr">
        <is>
          <t>RF-21, 22</t>
        </is>
      </c>
      <c r="E35" s="11" t="n">
        <v>10</v>
      </c>
      <c r="F35" s="12">
        <f>E35*$E$6</f>
        <v/>
      </c>
    </row>
    <row r="36">
      <c r="A36" s="5" t="inlineStr">
        <is>
          <t>2</t>
        </is>
      </c>
      <c r="B36" s="5" t="inlineStr">
        <is>
          <t>M5 Cobros</t>
        </is>
      </c>
      <c r="C36" s="5" t="inlineStr">
        <is>
          <t>Ventas a crédito informales y aviso de cobro vencido</t>
        </is>
      </c>
      <c r="D36" s="5" t="inlineStr">
        <is>
          <t>RF-23, 24</t>
        </is>
      </c>
      <c r="E36" s="11" t="n">
        <v>14</v>
      </c>
      <c r="F36" s="12">
        <f>E36*$E$6</f>
        <v/>
      </c>
    </row>
    <row r="37">
      <c r="A37" s="5" t="inlineStr">
        <is>
          <t>2</t>
        </is>
      </c>
      <c r="B37" s="5" t="inlineStr">
        <is>
          <t>M5 Cobros</t>
        </is>
      </c>
      <c r="C37" s="5" t="inlineStr">
        <is>
          <t>Saldos por cliente y plazo de nota de crédito</t>
        </is>
      </c>
      <c r="D37" s="5" t="inlineStr">
        <is>
          <t>RF-25, 26</t>
        </is>
      </c>
      <c r="E37" s="11" t="n">
        <v>8</v>
      </c>
      <c r="F37" s="12">
        <f>E37*$E$6</f>
        <v/>
      </c>
    </row>
    <row r="38">
      <c r="A38" s="5" t="inlineStr">
        <is>
          <t>2</t>
        </is>
      </c>
      <c r="B38" s="5" t="inlineStr">
        <is>
          <t>M5 Cobros</t>
        </is>
      </c>
      <c r="C38" s="5" t="inlineStr">
        <is>
          <t>Conciliación de pagos de Favorita</t>
        </is>
      </c>
      <c r="D38" s="5" t="inlineStr">
        <is>
          <t>RF-27</t>
        </is>
      </c>
      <c r="E38" s="11" t="n">
        <v>10</v>
      </c>
      <c r="F38" s="12">
        <f>E38*$E$6</f>
        <v/>
      </c>
    </row>
    <row r="39">
      <c r="A39" s="5" t="inlineStr">
        <is>
          <t>2</t>
        </is>
      </c>
      <c r="B39" s="5" t="inlineStr">
        <is>
          <t>M6 Producción</t>
        </is>
      </c>
      <c r="C39" s="5" t="inlineStr">
        <is>
          <t>Cálculo de grano a remojar y agenda de cocción</t>
        </is>
      </c>
      <c r="D39" s="5" t="inlineStr">
        <is>
          <t>RF-28, 29</t>
        </is>
      </c>
      <c r="E39" s="11" t="n">
        <v>10</v>
      </c>
      <c r="F39" s="12">
        <f>E39*$E$6</f>
        <v/>
      </c>
    </row>
    <row r="40">
      <c r="A40" s="5" t="inlineStr">
        <is>
          <t>2</t>
        </is>
      </c>
      <c r="B40" s="5" t="inlineStr">
        <is>
          <t>M6 Producción</t>
        </is>
      </c>
      <c r="C40" s="5" t="inlineStr">
        <is>
          <t>Rendimiento de champiñón por bandeja</t>
        </is>
      </c>
      <c r="D40" s="5" t="inlineStr">
        <is>
          <t>RF-30</t>
        </is>
      </c>
      <c r="E40" s="11" t="n">
        <v>6</v>
      </c>
      <c r="F40" s="12">
        <f>E40*$E$6</f>
        <v/>
      </c>
    </row>
    <row r="41">
      <c r="A41" s="5" t="inlineStr">
        <is>
          <t>3</t>
        </is>
      </c>
      <c r="B41" s="5" t="inlineStr">
        <is>
          <t>M7 Reportes</t>
        </is>
      </c>
      <c r="C41" s="5" t="inlineStr">
        <is>
          <t>Reporte de ventas de champiñón por periodo y cliente</t>
        </is>
      </c>
      <c r="D41" s="5" t="inlineStr">
        <is>
          <t>RF-31</t>
        </is>
      </c>
      <c r="E41" s="11" t="n">
        <v>14</v>
      </c>
      <c r="F41" s="12">
        <f>E41*$E$6</f>
        <v/>
      </c>
    </row>
    <row r="42">
      <c r="A42" s="5" t="inlineStr">
        <is>
          <t>3</t>
        </is>
      </c>
      <c r="B42" s="5" t="inlineStr">
        <is>
          <t>M7 Reportes</t>
        </is>
      </c>
      <c r="C42" s="5" t="inlineStr">
        <is>
          <t>Importación de Excel del facturador e historial 2019–2023</t>
        </is>
      </c>
      <c r="D42" s="5" t="inlineStr">
        <is>
          <t>RF-32</t>
        </is>
      </c>
      <c r="E42" s="11" t="n">
        <v>20</v>
      </c>
      <c r="F42" s="12">
        <f>E42*$E$6</f>
        <v/>
      </c>
    </row>
    <row r="43">
      <c r="A43" s="5" t="inlineStr">
        <is>
          <t>3</t>
        </is>
      </c>
      <c r="B43" s="5" t="inlineStr">
        <is>
          <t>M7 Reportes</t>
        </is>
      </c>
      <c r="C43" s="5" t="inlineStr">
        <is>
          <t>Sugerencia de pedido según historial</t>
        </is>
      </c>
      <c r="D43" s="5" t="inlineStr">
        <is>
          <t>RF-33</t>
        </is>
      </c>
      <c r="E43" s="11" t="n">
        <v>12</v>
      </c>
      <c r="F43" s="12">
        <f>E43*$E$6</f>
        <v/>
      </c>
    </row>
    <row r="44">
      <c r="A44" s="5" t="inlineStr">
        <is>
          <t>3</t>
        </is>
      </c>
      <c r="B44" s="5" t="inlineStr">
        <is>
          <t>M2 Favorita</t>
        </is>
      </c>
      <c r="C44" s="5" t="inlineStr">
        <is>
          <t>Llenado automático del formulario de oferta</t>
        </is>
      </c>
      <c r="D44" s="5" t="inlineStr">
        <is>
          <t>RF-14</t>
        </is>
      </c>
      <c r="E44" s="11" t="n">
        <v>16</v>
      </c>
      <c r="F44" s="12">
        <f>E44*$E$6</f>
        <v/>
      </c>
    </row>
    <row r="45">
      <c r="A45" s="5" t="inlineStr">
        <is>
          <t>Cierre</t>
        </is>
      </c>
      <c r="B45" s="5" t="inlineStr">
        <is>
          <t>Entrega</t>
        </is>
      </c>
      <c r="C45" s="5" t="inlineStr">
        <is>
          <t>Capacitación a Majo, Beto y Kelly</t>
        </is>
      </c>
      <c r="D45" s="5" t="inlineStr">
        <is>
          <t>RNF-02</t>
        </is>
      </c>
      <c r="E45" s="11" t="n">
        <v>8</v>
      </c>
      <c r="F45" s="12">
        <f>E45*$E$6</f>
        <v/>
      </c>
    </row>
    <row r="46">
      <c r="A46" s="5" t="inlineStr">
        <is>
          <t>Cierre</t>
        </is>
      </c>
      <c r="B46" s="5" t="inlineStr">
        <is>
          <t>Entrega</t>
        </is>
      </c>
      <c r="C46" s="5" t="inlineStr">
        <is>
          <t>Manual de uso sencillo</t>
        </is>
      </c>
      <c r="D46" s="5" t="inlineStr">
        <is>
          <t>RNF-02</t>
        </is>
      </c>
      <c r="E46" s="11" t="n">
        <v>6</v>
      </c>
      <c r="F46" s="12">
        <f>E46*$E$6</f>
        <v/>
      </c>
    </row>
    <row r="48">
      <c r="A48" s="13" t="inlineStr">
        <is>
          <t>Horas de desarrollo</t>
        </is>
      </c>
      <c r="B48" s="14" t="n"/>
      <c r="C48" s="14" t="n"/>
      <c r="D48" s="14" t="n"/>
      <c r="E48" s="15">
        <f>SUM($E$18:$E$46)</f>
        <v/>
      </c>
      <c r="F48" s="16">
        <f>E48*$E$6</f>
        <v/>
      </c>
    </row>
    <row r="49">
      <c r="A49" s="5" t="inlineStr">
        <is>
          <t>Pruebas y control de calidad</t>
        </is>
      </c>
      <c r="B49" s="14" t="n"/>
      <c r="C49" s="14" t="n"/>
      <c r="D49" s="14" t="n"/>
      <c r="E49" s="17">
        <f>E48*$E$7</f>
        <v/>
      </c>
      <c r="F49" s="12">
        <f>E49*$E$6</f>
        <v/>
      </c>
    </row>
    <row r="50">
      <c r="A50" s="5" t="inlineStr">
        <is>
          <t>Gestión del proyecto</t>
        </is>
      </c>
      <c r="B50" s="14" t="n"/>
      <c r="C50" s="14" t="n"/>
      <c r="D50" s="14" t="n"/>
      <c r="E50" s="17">
        <f>E48*$E$8</f>
        <v/>
      </c>
      <c r="F50" s="12">
        <f>E50*$E$6</f>
        <v/>
      </c>
    </row>
    <row r="51">
      <c r="A51" s="13" t="inlineStr">
        <is>
          <t>Subtotal</t>
        </is>
      </c>
      <c r="B51" s="14" t="n"/>
      <c r="C51" s="14" t="n"/>
      <c r="D51" s="14" t="n"/>
      <c r="E51" s="15">
        <f>E48+E49+E50</f>
        <v/>
      </c>
      <c r="F51" s="16">
        <f>F48+F49+F50</f>
        <v/>
      </c>
    </row>
    <row r="52">
      <c r="A52" s="5" t="inlineStr">
        <is>
          <t>Contingencia</t>
        </is>
      </c>
      <c r="B52" s="14" t="n"/>
      <c r="C52" s="14" t="n"/>
      <c r="D52" s="14" t="n"/>
      <c r="E52" s="17">
        <f>E51*$E$9</f>
        <v/>
      </c>
      <c r="F52" s="12">
        <f>F51*$E$9</f>
        <v/>
      </c>
    </row>
    <row r="53">
      <c r="A53" s="18" t="inlineStr">
        <is>
          <t>TOTAL ELABORACIÓN</t>
        </is>
      </c>
      <c r="B53" s="19" t="n"/>
      <c r="C53" s="19" t="n"/>
      <c r="D53" s="19" t="n"/>
      <c r="E53" s="20">
        <f>E51+E52</f>
        <v/>
      </c>
      <c r="F53" s="21">
        <f>F51+F52</f>
        <v/>
      </c>
    </row>
    <row r="55">
      <c r="A55" s="3" t="inlineStr">
        <is>
          <t>3. Elaboración por fase (incluye pruebas, gestión y contingencia proporcionales)</t>
        </is>
      </c>
    </row>
    <row r="56">
      <c r="A56" s="4" t="inlineStr">
        <is>
          <t>Fase</t>
        </is>
      </c>
      <c r="B56" s="4" t="inlineStr">
        <is>
          <t>Descripción</t>
        </is>
      </c>
      <c r="C56" s="4" t="inlineStr"/>
      <c r="D56" s="4" t="inlineStr"/>
      <c r="E56" s="4" t="inlineStr">
        <is>
          <t>Horas</t>
        </is>
      </c>
      <c r="F56" s="4" t="inlineStr">
        <is>
          <t>Costo (USD)</t>
        </is>
      </c>
    </row>
    <row r="57">
      <c r="A57" s="5" t="inlineStr">
        <is>
          <t>0</t>
        </is>
      </c>
      <c r="B57" s="5" t="inlineStr">
        <is>
          <t>Inicio</t>
        </is>
      </c>
      <c r="E57" s="17">
        <f>SUMIFS($E$18:$E$46,$A$18:$A$46,"0")*$E$53/$E$48</f>
        <v/>
      </c>
      <c r="F57" s="12">
        <f>E57*$E$6</f>
        <v/>
      </c>
    </row>
    <row r="58">
      <c r="A58" s="5" t="inlineStr">
        <is>
          <t>1</t>
        </is>
      </c>
      <c r="B58" s="5" t="inlineStr">
        <is>
          <t>Recordatorios, Favorita, Pagos, Proveedores</t>
        </is>
      </c>
      <c r="E58" s="17">
        <f>SUMIFS($E$18:$E$46,$A$18:$A$46,"1")*$E$53/$E$48</f>
        <v/>
      </c>
      <c r="F58" s="12">
        <f>E58*$E$6</f>
        <v/>
      </c>
    </row>
    <row r="59">
      <c r="A59" s="5" t="inlineStr">
        <is>
          <t>2</t>
        </is>
      </c>
      <c r="B59" s="5" t="inlineStr">
        <is>
          <t>Cobros y Producción</t>
        </is>
      </c>
      <c r="E59" s="17">
        <f>SUMIFS($E$18:$E$46,$A$18:$A$46,"2")*$E$53/$E$48</f>
        <v/>
      </c>
      <c r="F59" s="12">
        <f>E59*$E$6</f>
        <v/>
      </c>
    </row>
    <row r="60">
      <c r="A60" s="5" t="inlineStr">
        <is>
          <t>3</t>
        </is>
      </c>
      <c r="B60" s="5" t="inlineStr">
        <is>
          <t>Reportes y llenado automático</t>
        </is>
      </c>
      <c r="E60" s="17">
        <f>SUMIFS($E$18:$E$46,$A$18:$A$46,"3")*$E$53/$E$48</f>
        <v/>
      </c>
      <c r="F60" s="12">
        <f>E60*$E$6</f>
        <v/>
      </c>
    </row>
    <row r="61">
      <c r="A61" s="5" t="inlineStr">
        <is>
          <t>Cierre</t>
        </is>
      </c>
      <c r="B61" s="5" t="inlineStr">
        <is>
          <t>Capacitación y manual</t>
        </is>
      </c>
      <c r="E61" s="17">
        <f>SUMIFS($E$18:$E$46,$A$18:$A$46,"Cierre")*$E$53/$E$48</f>
        <v/>
      </c>
      <c r="F61" s="12">
        <f>E61*$E$6</f>
        <v/>
      </c>
    </row>
    <row r="63">
      <c r="A63" s="3" t="inlineStr">
        <is>
          <t>4. Costo de mantenimiento (recurrente)</t>
        </is>
      </c>
    </row>
    <row r="64">
      <c r="A64" s="4" t="inlineStr">
        <is>
          <t>Concepto</t>
        </is>
      </c>
      <c r="B64" s="4" t="inlineStr">
        <is>
          <t>Escenario económico</t>
        </is>
      </c>
      <c r="C64" s="4" t="inlineStr"/>
      <c r="D64" s="4" t="inlineStr">
        <is>
          <t>Escenario recomendado</t>
        </is>
      </c>
      <c r="E64" s="4" t="inlineStr">
        <is>
          <t>Mensual econ. (USD)</t>
        </is>
      </c>
      <c r="F64" s="4" t="inlineStr">
        <is>
          <t>Mensual recom. (USD)</t>
        </is>
      </c>
    </row>
    <row r="65">
      <c r="A65" s="5" t="inlineStr">
        <is>
          <t>Hosting web (Vercel)</t>
        </is>
      </c>
      <c r="B65" s="5" t="inlineStr">
        <is>
          <t>Hobby: gratis, solo uso no comercial</t>
        </is>
      </c>
      <c r="C65" s="14" t="n"/>
      <c r="D65" s="5" t="inlineStr">
        <is>
          <t>Pro: uso comercial, cron cada minuto</t>
        </is>
      </c>
      <c r="E65" s="22" t="n">
        <v>0</v>
      </c>
      <c r="F65" s="22" t="n">
        <v>20</v>
      </c>
    </row>
    <row r="66">
      <c r="A66" s="5" t="inlineStr">
        <is>
          <t>Base de datos e inicio de sesión (Supabase)</t>
        </is>
      </c>
      <c r="B66" s="5" t="inlineStr">
        <is>
          <t>Free: 500 MB, sin respaldos</t>
        </is>
      </c>
      <c r="C66" s="14" t="n"/>
      <c r="D66" s="5" t="inlineStr">
        <is>
          <t>Pro: 8 GB, respaldo diario (RNF-06)</t>
        </is>
      </c>
      <c r="E66" s="22" t="n">
        <v>0</v>
      </c>
      <c r="F66" s="22" t="n">
        <v>25</v>
      </c>
    </row>
    <row r="67">
      <c r="A67" s="5" t="inlineStr">
        <is>
          <t>Respaldo diario de datos</t>
        </is>
      </c>
      <c r="B67" s="5" t="inlineStr">
        <is>
          <t>Script en GitHub Actions (gratis)</t>
        </is>
      </c>
      <c r="C67" s="14" t="n"/>
      <c r="D67" s="5" t="inlineStr">
        <is>
          <t>Incluido en Supabase Pro</t>
        </is>
      </c>
      <c r="E67" s="22" t="n">
        <v>0</v>
      </c>
      <c r="F67" s="22" t="n">
        <v>0</v>
      </c>
    </row>
    <row r="68">
      <c r="A68" s="5" t="inlineStr">
        <is>
          <t>Programador de avisos (cron)</t>
        </is>
      </c>
      <c r="B68" s="5" t="inlineStr">
        <is>
          <t>cron-job.org cada 5 min (gratis)</t>
        </is>
      </c>
      <c r="C68" s="14" t="n"/>
      <c r="D68" s="5" t="inlineStr">
        <is>
          <t>Incluido en Vercel Pro</t>
        </is>
      </c>
      <c r="E68" s="22" t="n">
        <v>0</v>
      </c>
      <c r="F68" s="22" t="n">
        <v>0</v>
      </c>
    </row>
    <row r="69">
      <c r="A69" s="5" t="inlineStr">
        <is>
          <t>Mensajes de WhatsApp (Meta)</t>
        </is>
      </c>
      <c r="B69" s="5" t="inlineStr">
        <is>
          <t>Mensajes × costo por mensaje</t>
        </is>
      </c>
      <c r="C69" s="14" t="n"/>
      <c r="D69" s="5" t="inlineStr">
        <is>
          <t>Mensajes × costo por mensaje</t>
        </is>
      </c>
      <c r="E69" s="12">
        <f>$E$10*$E$11</f>
        <v/>
      </c>
      <c r="F69" s="12">
        <f>$E$10*$E$11</f>
        <v/>
      </c>
    </row>
    <row r="70">
      <c r="A70" s="5" t="inlineStr">
        <is>
          <t>Dominio .com</t>
        </is>
      </c>
      <c r="B70" s="5" t="inlineStr">
        <is>
          <t>Costo anual / 12</t>
        </is>
      </c>
      <c r="C70" s="14" t="n"/>
      <c r="D70" s="5" t="inlineStr">
        <is>
          <t>Costo anual / 12</t>
        </is>
      </c>
      <c r="E70" s="12">
        <f>$E$14/12</f>
        <v/>
      </c>
      <c r="F70" s="12">
        <f>$E$14/12</f>
        <v/>
      </c>
    </row>
    <row r="71">
      <c r="A71" s="5" t="inlineStr">
        <is>
          <t>Soporte y correcciones</t>
        </is>
      </c>
      <c r="B71" s="5" t="inlineStr">
        <is>
          <t>Horas económico × tarifa</t>
        </is>
      </c>
      <c r="C71" s="14" t="n"/>
      <c r="D71" s="5" t="inlineStr">
        <is>
          <t>Horas recomendado × tarifa</t>
        </is>
      </c>
      <c r="E71" s="12">
        <f>$E$12*$E$6</f>
        <v/>
      </c>
      <c r="F71" s="12">
        <f>$E$13*$E$6</f>
        <v/>
      </c>
    </row>
    <row r="72">
      <c r="A72" s="23" t="inlineStr">
        <is>
          <t>Total mensual</t>
        </is>
      </c>
      <c r="B72" s="23" t="n"/>
      <c r="C72" s="23" t="n"/>
      <c r="D72" s="23" t="n"/>
      <c r="E72" s="24">
        <f>SUM(E65:E71)</f>
        <v/>
      </c>
      <c r="F72" s="24">
        <f>SUM(F65:F71)</f>
        <v/>
      </c>
    </row>
    <row r="73">
      <c r="A73" s="18" t="inlineStr">
        <is>
          <t>Total anual</t>
        </is>
      </c>
      <c r="B73" s="18" t="n"/>
      <c r="C73" s="18" t="n"/>
      <c r="D73" s="18" t="n"/>
      <c r="E73" s="21">
        <f>E72*12</f>
        <v/>
      </c>
      <c r="F73" s="21">
        <f>F72*12</f>
        <v/>
      </c>
    </row>
    <row r="75">
      <c r="A75" s="3" t="inlineStr">
        <is>
          <t>5. Resumen</t>
        </is>
      </c>
    </row>
    <row r="76">
      <c r="A76" s="4" t="inlineStr">
        <is>
          <t>Concepto</t>
        </is>
      </c>
      <c r="B76" s="4" t="inlineStr"/>
      <c r="C76" s="4" t="inlineStr"/>
      <c r="D76" s="4" t="inlineStr"/>
      <c r="E76" s="4" t="inlineStr">
        <is>
          <t>Económico (USD)</t>
        </is>
      </c>
      <c r="F76" s="4" t="inlineStr">
        <is>
          <t>Recomendado (USD)</t>
        </is>
      </c>
    </row>
    <row r="77">
      <c r="A77" s="5" t="inlineStr">
        <is>
          <t>Elaboración total (pago único)</t>
        </is>
      </c>
      <c r="B77" s="14" t="n"/>
      <c r="C77" s="14" t="n"/>
      <c r="D77" s="14" t="n"/>
      <c r="E77" s="12">
        <f>$F$53</f>
        <v/>
      </c>
      <c r="F77" s="12">
        <f>$F$53</f>
        <v/>
      </c>
    </row>
    <row r="78">
      <c r="A78" s="5" t="inlineStr">
        <is>
          <t>Mantenimiento mensual</t>
        </is>
      </c>
      <c r="B78" s="14" t="n"/>
      <c r="C78" s="14" t="n"/>
      <c r="D78" s="14" t="n"/>
      <c r="E78" s="12">
        <f>E72</f>
        <v/>
      </c>
      <c r="F78" s="12">
        <f>F72</f>
        <v/>
      </c>
    </row>
    <row r="79">
      <c r="A79" s="5" t="inlineStr">
        <is>
          <t>Mantenimiento anual</t>
        </is>
      </c>
      <c r="B79" s="14" t="n"/>
      <c r="C79" s="14" t="n"/>
      <c r="D79" s="14" t="n"/>
      <c r="E79" s="12">
        <f>E73</f>
        <v/>
      </c>
      <c r="F79" s="12">
        <f>F73</f>
        <v/>
      </c>
    </row>
    <row r="80">
      <c r="A80" s="18" t="inlineStr">
        <is>
          <t>Costo primer año (elaboración + 12 meses)</t>
        </is>
      </c>
      <c r="B80" s="19" t="n"/>
      <c r="C80" s="19" t="n"/>
      <c r="D80" s="19" t="n"/>
      <c r="E80" s="21">
        <f>$F$53+E73</f>
        <v/>
      </c>
      <c r="F80" s="21">
        <f>$F$53+F73</f>
        <v/>
      </c>
    </row>
    <row r="81">
      <c r="A81" s="23" t="inlineStr">
        <is>
          <t>Arranque mínimo: fases 0, 1 y cierre + 12 meses</t>
        </is>
      </c>
      <c r="B81" s="25" t="n"/>
      <c r="C81" s="25" t="n"/>
      <c r="D81" s="25" t="n"/>
      <c r="E81" s="24">
        <f>F57+F58+F61+E73</f>
        <v/>
      </c>
      <c r="F81" s="24">
        <f>F57+F58+F61+F73</f>
        <v/>
      </c>
    </row>
    <row r="83">
      <c r="A83" s="26" t="inlineStr">
        <is>
          <t>• Referencia RNF-07: el facturador actual cuesta 110 USD al año.</t>
        </is>
      </c>
    </row>
    <row r="84">
      <c r="A84" s="26" t="inlineStr">
        <is>
          <t>• Costo único de arranque: chip para número de WhatsApp Business ≈5 USD.</t>
        </is>
      </c>
    </row>
    <row r="85">
      <c r="A85" s="26" t="inlineStr">
        <is>
          <t>• Vercel Hobby prohíbe uso comercial: el escenario económico sirve para arrancar; en producción conviene el recomendado.</t>
        </is>
      </c>
    </row>
    <row r="86">
      <c r="A86" s="26" t="inlineStr">
        <is>
          <t>• Supabase Free pausa el proyecto tras 7 días sin actividad; el cron de avisos lo mantiene activo.</t>
        </is>
      </c>
    </row>
    <row r="87">
      <c r="A87" s="26" t="inlineStr">
        <is>
          <t>• Confirmar precios de Vercel, Supabase y Meta en sus páginas antes de contratar.</t>
        </is>
      </c>
    </row>
  </sheetData>
  <mergeCells count="42">
    <mergeCell ref="A16:F16"/>
    <mergeCell ref="A8:D8"/>
    <mergeCell ref="B60:D60"/>
    <mergeCell ref="A84:F84"/>
    <mergeCell ref="A53:D53"/>
    <mergeCell ref="B61:D61"/>
    <mergeCell ref="B57:D57"/>
    <mergeCell ref="A75:F75"/>
    <mergeCell ref="A52:D52"/>
    <mergeCell ref="B66:C66"/>
    <mergeCell ref="A81:D81"/>
    <mergeCell ref="A10:D10"/>
    <mergeCell ref="B71:C71"/>
    <mergeCell ref="A55:F55"/>
    <mergeCell ref="A86:F86"/>
    <mergeCell ref="A13:D13"/>
    <mergeCell ref="B70:C70"/>
    <mergeCell ref="A9:D9"/>
    <mergeCell ref="A85:F85"/>
    <mergeCell ref="A77:D77"/>
    <mergeCell ref="A48:D48"/>
    <mergeCell ref="B67:C67"/>
    <mergeCell ref="A4:F4"/>
    <mergeCell ref="A49:D49"/>
    <mergeCell ref="A51:D51"/>
    <mergeCell ref="A11:D11"/>
    <mergeCell ref="B69:C69"/>
    <mergeCell ref="A63:F63"/>
    <mergeCell ref="A79:D79"/>
    <mergeCell ref="A6:D6"/>
    <mergeCell ref="A78:D78"/>
    <mergeCell ref="A7:D7"/>
    <mergeCell ref="A83:F83"/>
    <mergeCell ref="B65:C65"/>
    <mergeCell ref="A80:D80"/>
    <mergeCell ref="B59:D59"/>
    <mergeCell ref="B68:C68"/>
    <mergeCell ref="A12:D12"/>
    <mergeCell ref="A50:D50"/>
    <mergeCell ref="B58:D58"/>
    <mergeCell ref="A87:F87"/>
    <mergeCell ref="A14:D1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2026-10-27T18:18:04Z</dcterms:created>
  <dcterms:modified xsi:type="dcterms:W3CDTF">2026-10-27T18:18:04Z</dcterms:modified>
</cp:coreProperties>
</file>
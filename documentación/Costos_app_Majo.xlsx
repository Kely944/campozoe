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upuestos" sheetId="2" state="visible" r:id="rId2"/>
    <sheet name="Elaboración" sheetId="3" state="visible" r:id="rId3"/>
    <sheet name="Mantenimi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;(#,##0);&quot;-&quot;"/>
    <numFmt numFmtId="167" formatCode="$#,##0.00;($#,##0.00)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595959"/>
    </font>
    <font>
      <name val="Arial"/>
      <b val="1"/>
    </font>
    <font>
      <name val="Arial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166" fontId="8" fillId="0" borderId="1" pivotButton="0" quotePrefix="0" xfId="0"/>
    <xf numFmtId="167" fontId="8" fillId="0" borderId="1" pivotButton="0" quotePrefix="0" xfId="0"/>
    <xf numFmtId="0" fontId="7" fillId="5" borderId="1" pivotButton="0" quotePrefix="0" xfId="0"/>
    <xf numFmtId="166" fontId="7" fillId="5" borderId="1" pivotButton="0" quotePrefix="0" xfId="0"/>
    <xf numFmtId="167" fontId="7" fillId="5" borderId="1" pivotButton="0" quotePrefix="0" xfId="0"/>
    <xf numFmtId="0" fontId="7" fillId="4" borderId="1" pivotButton="0" quotePrefix="0" xfId="0"/>
    <xf numFmtId="167" fontId="7" fillId="4" borderId="1" pivotButton="0" quotePrefix="0" xfId="0"/>
    <xf numFmtId="0" fontId="4" fillId="0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0" fontId="4" fillId="4" borderId="1" pivotButton="0" quotePrefix="0" xfId="0"/>
    <xf numFmtId="166" fontId="4" fillId="4" borderId="1" pivotButton="0" quotePrefix="0" xfId="0"/>
    <xf numFmtId="167" fontId="4" fillId="4" borderId="1" pivotButton="0" quotePrefix="0" xfId="0"/>
    <xf numFmtId="0" fontId="7" fillId="0" borderId="1" pivotButton="0" quotePrefix="0" xfId="0"/>
    <xf numFmtId="166" fontId="7" fillId="0" borderId="1" pivotButton="0" quotePrefix="0" xfId="0"/>
    <xf numFmtId="167" fontId="7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7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20" customWidth="1" min="3" max="3"/>
  </cols>
  <sheetData>
    <row r="1">
      <c r="A1" s="1" t="inlineStr">
        <is>
          <t>Resumen de costos – App de administración Majo</t>
        </is>
      </c>
    </row>
    <row r="2">
      <c r="A2" s="2" t="inlineStr">
        <is>
          <t>Elaboración por fase, mantenimiento y costo del primer año. Montos en USD.</t>
        </is>
      </c>
    </row>
    <row r="4">
      <c r="A4" s="3" t="inlineStr">
        <is>
          <t>Concepto</t>
        </is>
      </c>
      <c r="B4" s="3" t="inlineStr">
        <is>
          <t>Horas</t>
        </is>
      </c>
      <c r="C4" s="3" t="inlineStr">
        <is>
          <t>Costo (USD)</t>
        </is>
      </c>
    </row>
    <row r="5">
      <c r="A5" s="4" t="inlineStr">
        <is>
          <t>Fase 0 – Inicio</t>
        </is>
      </c>
      <c r="B5" s="5">
        <f>Elaboración!E35/Elaboración!E40*Elaboración!E45</f>
        <v/>
      </c>
      <c r="C5" s="6">
        <f>Elaboración!F35/Elaboración!F40*Elaboración!F45</f>
        <v/>
      </c>
    </row>
    <row r="6">
      <c r="A6" s="4" t="inlineStr">
        <is>
          <t>Fase 1 – Recordatorios, Favorita, Pagos, Proveedores</t>
        </is>
      </c>
      <c r="B6" s="5">
        <f>Elaboración!E36/Elaboración!E40*Elaboración!E45</f>
        <v/>
      </c>
      <c r="C6" s="6">
        <f>Elaboración!F36/Elaboración!F40*Elaboración!F45</f>
        <v/>
      </c>
    </row>
    <row r="7">
      <c r="A7" s="4" t="inlineStr">
        <is>
          <t>Fase 2 – Cobros y Producción</t>
        </is>
      </c>
      <c r="B7" s="5">
        <f>Elaboración!E37/Elaboración!E40*Elaboración!E45</f>
        <v/>
      </c>
      <c r="C7" s="6">
        <f>Elaboración!F37/Elaboración!F40*Elaboración!F45</f>
        <v/>
      </c>
    </row>
    <row r="8">
      <c r="A8" s="4" t="inlineStr">
        <is>
          <t>Fase 3 – Reportes y llenado automático</t>
        </is>
      </c>
      <c r="B8" s="5">
        <f>Elaboración!E38/Elaboración!E40*Elaboración!E45</f>
        <v/>
      </c>
      <c r="C8" s="6">
        <f>Elaboración!F38/Elaboración!F40*Elaboración!F45</f>
        <v/>
      </c>
    </row>
    <row r="9">
      <c r="A9" s="4" t="inlineStr">
        <is>
          <t>Cierre – Capacitación y manual</t>
        </is>
      </c>
      <c r="B9" s="5">
        <f>Elaboración!E39/Elaboración!E40*Elaboración!E45</f>
        <v/>
      </c>
      <c r="C9" s="6">
        <f>Elaboración!F39/Elaboración!F40*Elaboración!F45</f>
        <v/>
      </c>
    </row>
    <row r="10">
      <c r="A10" s="7" t="inlineStr">
        <is>
          <t>Total elaboración (incluye QA, gestión y contingencia)</t>
        </is>
      </c>
      <c r="B10" s="8">
        <f>SUM(B5:B9)</f>
        <v/>
      </c>
      <c r="C10" s="9">
        <f>SUM(C5:C9)</f>
        <v/>
      </c>
    </row>
    <row r="12">
      <c r="A12" s="3" t="inlineStr">
        <is>
          <t>Mantenimiento</t>
        </is>
      </c>
      <c r="B12" s="3" t="inlineStr">
        <is>
          <t>Económico (USD)</t>
        </is>
      </c>
      <c r="C12" s="3" t="inlineStr">
        <is>
          <t>Recomendado (USD)</t>
        </is>
      </c>
    </row>
    <row r="13">
      <c r="A13" s="4" t="inlineStr">
        <is>
          <t>Mensual</t>
        </is>
      </c>
      <c r="B13" s="6">
        <f>Mantenimiento!C12</f>
        <v/>
      </c>
      <c r="C13" s="6">
        <f>Mantenimiento!E12</f>
        <v/>
      </c>
    </row>
    <row r="14">
      <c r="A14" s="4" t="inlineStr">
        <is>
          <t>Anual</t>
        </is>
      </c>
      <c r="B14" s="6">
        <f>Mantenimiento!C13</f>
        <v/>
      </c>
      <c r="C14" s="6">
        <f>Mantenimiento!E13</f>
        <v/>
      </c>
    </row>
    <row r="15">
      <c r="A15" s="7" t="inlineStr">
        <is>
          <t>Costo primer año (elaboración + 12 meses)</t>
        </is>
      </c>
      <c r="B15" s="9">
        <f>C10+B14</f>
        <v/>
      </c>
      <c r="C15" s="9">
        <f>C10+C14</f>
        <v/>
      </c>
    </row>
    <row r="16">
      <c r="A16" s="10" t="inlineStr">
        <is>
          <t>Costo solo fase 1 + 12 meses (arranque mínimo)</t>
        </is>
      </c>
      <c r="B16" s="11">
        <f>C5+C6+C9+B14</f>
        <v/>
      </c>
      <c r="C16" s="11">
        <f>C5+C6+C9+C14</f>
        <v/>
      </c>
    </row>
    <row r="18">
      <c r="A18" s="2" t="inlineStr">
        <is>
          <t>Referencia RNF-07: el facturador actual cuesta 110 USD al año. Tarifa y supuestos editables en la hoja Supuestos.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80" customWidth="1" min="3" max="3"/>
  </cols>
  <sheetData>
    <row r="1">
      <c r="A1" s="1" t="inlineStr">
        <is>
          <t>Supuestos – App de administración Majo</t>
        </is>
      </c>
    </row>
    <row r="2">
      <c r="A2" s="2" t="inlineStr">
        <is>
          <t>Celdas en azul con fondo amarillo: editables. Todo lo demás se recalcula. Montos en USD (RNF-05).</t>
        </is>
      </c>
    </row>
    <row r="4">
      <c r="A4" s="3" t="inlineStr">
        <is>
          <t>Supuesto</t>
        </is>
      </c>
      <c r="B4" s="3" t="inlineStr">
        <is>
          <t>Valor</t>
        </is>
      </c>
      <c r="C4" s="3" t="inlineStr">
        <is>
          <t>Nota</t>
        </is>
      </c>
    </row>
    <row r="5">
      <c r="A5" s="12" t="inlineStr">
        <is>
          <t>Tarifa por hora del desarrollador (USD)</t>
        </is>
      </c>
      <c r="B5" s="13" t="n">
        <v>20</v>
      </c>
      <c r="C5" s="14" t="inlineStr">
        <is>
          <t>Promedio freelance en Ecuador para desarrollo web full-stack. Ajustar a la tarifa real.</t>
        </is>
      </c>
    </row>
    <row r="6">
      <c r="A6" s="12" t="inlineStr">
        <is>
          <t>Pruebas y control de calidad (% sobre horas de desarrollo)</t>
        </is>
      </c>
      <c r="B6" s="15" t="n">
        <v>0.15</v>
      </c>
      <c r="C6" s="14" t="inlineStr">
        <is>
          <t>Pruebas automáticas (vitest) y pruebas manuales en celular.</t>
        </is>
      </c>
    </row>
    <row r="7">
      <c r="A7" s="12" t="inlineStr">
        <is>
          <t>Gestión del proyecto (% sobre horas de desarrollo)</t>
        </is>
      </c>
      <c r="B7" s="15" t="n">
        <v>0.1</v>
      </c>
      <c r="C7" s="14" t="inlineStr">
        <is>
          <t>Reuniones con Majo, seguimiento y ajustes de alcance.</t>
        </is>
      </c>
    </row>
    <row r="8">
      <c r="A8" s="12" t="inlineStr">
        <is>
          <t>Contingencia (% sobre subtotal)</t>
        </is>
      </c>
      <c r="B8" s="15" t="n">
        <v>0.1</v>
      </c>
      <c r="C8" s="14" t="inlineStr">
        <is>
          <t>Cubre las 11 preguntas abiertas del documento de requerimientos.</t>
        </is>
      </c>
    </row>
    <row r="9">
      <c r="A9" s="12" t="inlineStr">
        <is>
          <t>Mensajes de WhatsApp al mes</t>
        </is>
      </c>
      <c r="B9" s="16" t="n">
        <v>900</v>
      </c>
      <c r="C9" s="14" t="inlineStr">
        <is>
          <t>≈10 obligaciones al día × 3 avisos (2 días, 1 día, 2 h) + repeticiones y respaldo (RF-02 a RF-04).</t>
        </is>
      </c>
    </row>
    <row r="10">
      <c r="A10" s="12" t="inlineStr">
        <is>
          <t>Costo por mensaje de WhatsApp (USD)</t>
        </is>
      </c>
      <c r="B10" s="17" t="n">
        <v>0.01</v>
      </c>
      <c r="C10" s="14" t="inlineStr">
        <is>
          <t>Plantilla de utilidad de WhatsApp Cloud API (Meta), región resto de Latinoamérica. Verificar tarifa vigente en developers.facebook.com.</t>
        </is>
      </c>
    </row>
    <row r="11">
      <c r="A11" s="12" t="inlineStr">
        <is>
          <t>Horas de soporte al mes – escenario económico</t>
        </is>
      </c>
      <c r="B11" s="16" t="n">
        <v>2</v>
      </c>
      <c r="C11" s="14" t="inlineStr">
        <is>
          <t>Correcciones menores y dudas de uso.</t>
        </is>
      </c>
    </row>
    <row r="12">
      <c r="A12" s="12" t="inlineStr">
        <is>
          <t>Horas de soporte al mes – escenario recomendado</t>
        </is>
      </c>
      <c r="B12" s="16" t="n">
        <v>4</v>
      </c>
      <c r="C12" s="14" t="inlineStr">
        <is>
          <t>Correcciones, actualizaciones de seguridad y pequeños ajustes.</t>
        </is>
      </c>
    </row>
    <row r="13">
      <c r="A13" s="12" t="inlineStr">
        <is>
          <t>Dominio .com al año (USD)</t>
        </is>
      </c>
      <c r="B13" s="13" t="n">
        <v>12</v>
      </c>
      <c r="C13" s="14" t="inlineStr">
        <is>
          <t>Opcional; .ec cuesta ≈35–40 USD/año.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2" customWidth="1" min="3" max="3"/>
    <col width="24" customWidth="1" min="4" max="4"/>
    <col width="10" customWidth="1" min="5" max="5"/>
    <col width="14" customWidth="1" min="6" max="6"/>
  </cols>
  <sheetData>
    <row r="1">
      <c r="A1" s="1" t="inlineStr">
        <is>
          <t>Costo de elaboración (pago único)</t>
        </is>
      </c>
    </row>
    <row r="2">
      <c r="A2" s="2" t="inlineStr">
        <is>
          <t>Horas estimadas por módulo según Requerimientos_app_Majo.docx. Horas en azul: editables.</t>
        </is>
      </c>
    </row>
    <row r="4">
      <c r="A4" s="3" t="inlineStr">
        <is>
          <t>Fase</t>
        </is>
      </c>
      <c r="B4" s="3" t="inlineStr">
        <is>
          <t>Módulo</t>
        </is>
      </c>
      <c r="C4" s="3" t="inlineStr">
        <is>
          <t>Actividad</t>
        </is>
      </c>
      <c r="D4" s="3" t="inlineStr">
        <is>
          <t>Requerimientos</t>
        </is>
      </c>
      <c r="E4" s="3" t="inlineStr">
        <is>
          <t>Horas</t>
        </is>
      </c>
      <c r="F4" s="3" t="inlineStr">
        <is>
          <t>Costo (USD)</t>
        </is>
      </c>
    </row>
    <row r="5">
      <c r="A5" s="12" t="inlineStr">
        <is>
          <t>0</t>
        </is>
      </c>
      <c r="B5" s="12" t="inlineStr">
        <is>
          <t>Inicio</t>
        </is>
      </c>
      <c r="C5" s="12" t="inlineStr">
        <is>
          <t>Levantamiento de requerimientos (3 audios, transcripción, documento)</t>
        </is>
      </c>
      <c r="D5" s="12" t="inlineStr">
        <is>
          <t>—</t>
        </is>
      </c>
      <c r="E5" s="18" t="n">
        <v>12</v>
      </c>
      <c r="F5" s="19">
        <f>E5*Supuestos!$B$5</f>
        <v/>
      </c>
    </row>
    <row r="6">
      <c r="A6" s="12" t="inlineStr">
        <is>
          <t>0</t>
        </is>
      </c>
      <c r="B6" s="12" t="inlineStr">
        <is>
          <t>Inicio</t>
        </is>
      </c>
      <c r="C6" s="12" t="inlineStr">
        <is>
          <t>Diseño de pantallas y base de datos (Supabase, roles, seguridad RLS)</t>
        </is>
      </c>
      <c r="D6" s="12" t="inlineStr">
        <is>
          <t>RNF-01, RNF-02, RNF-04</t>
        </is>
      </c>
      <c r="E6" s="18" t="n">
        <v>20</v>
      </c>
      <c r="F6" s="19">
        <f>E6*Supuestos!$B$5</f>
        <v/>
      </c>
    </row>
    <row r="7">
      <c r="A7" s="12" t="inlineStr">
        <is>
          <t>0</t>
        </is>
      </c>
      <c r="B7" s="12" t="inlineStr">
        <is>
          <t>Inicio</t>
        </is>
      </c>
      <c r="C7" s="12" t="inlineStr">
        <is>
          <t>Configuración del proyecto, inicio de sesión y despliegue</t>
        </is>
      </c>
      <c r="D7" s="12" t="inlineStr">
        <is>
          <t>RNF-04, RNF-05</t>
        </is>
      </c>
      <c r="E7" s="18" t="n">
        <v>16</v>
      </c>
      <c r="F7" s="19">
        <f>E7*Supuestos!$B$5</f>
        <v/>
      </c>
    </row>
    <row r="8">
      <c r="A8" s="12" t="inlineStr">
        <is>
          <t>1</t>
        </is>
      </c>
      <c r="B8" s="12" t="inlineStr">
        <is>
          <t>M1 Recordatorios</t>
        </is>
      </c>
      <c r="C8" s="12" t="inlineStr">
        <is>
          <t>Registro de obligaciones con frecuencia y responsable</t>
        </is>
      </c>
      <c r="D8" s="12" t="inlineStr">
        <is>
          <t>RF-01</t>
        </is>
      </c>
      <c r="E8" s="18" t="n">
        <v>14</v>
      </c>
      <c r="F8" s="19">
        <f>E8*Supuestos!$B$5</f>
        <v/>
      </c>
    </row>
    <row r="9">
      <c r="A9" s="12" t="inlineStr">
        <is>
          <t>1</t>
        </is>
      </c>
      <c r="B9" s="12" t="inlineStr">
        <is>
          <t>M1 Recordatorios</t>
        </is>
      </c>
      <c r="C9" s="12" t="inlineStr">
        <is>
          <t>Motor de avisos programados (cron) con anticipación configurable</t>
        </is>
      </c>
      <c r="D9" s="12" t="inlineStr">
        <is>
          <t>RF-02, RF-03, RNF-08</t>
        </is>
      </c>
      <c r="E9" s="18" t="n">
        <v>14</v>
      </c>
      <c r="F9" s="19">
        <f>E9*Supuestos!$B$5</f>
        <v/>
      </c>
    </row>
    <row r="10">
      <c r="A10" s="12" t="inlineStr">
        <is>
          <t>1</t>
        </is>
      </c>
      <c r="B10" s="12" t="inlineStr">
        <is>
          <t>M1 Recordatorios</t>
        </is>
      </c>
      <c r="C10" s="12" t="inlineStr">
        <is>
          <t>Integración WhatsApp Cloud API y correo alternativo</t>
        </is>
      </c>
      <c r="D10" s="12" t="inlineStr">
        <is>
          <t>RF-02, RNF-03</t>
        </is>
      </c>
      <c r="E10" s="18" t="n">
        <v>12</v>
      </c>
      <c r="F10" s="19">
        <f>E10*Supuestos!$B$5</f>
        <v/>
      </c>
    </row>
    <row r="11">
      <c r="A11" s="12" t="inlineStr">
        <is>
          <t>1</t>
        </is>
      </c>
      <c r="B11" s="12" t="inlineStr">
        <is>
          <t>M1 Recordatorios</t>
        </is>
      </c>
      <c r="C11" s="12" t="inlineStr">
        <is>
          <t>Aviso a responsable de respaldo y marcar "hecho"</t>
        </is>
      </c>
      <c r="D11" s="12" t="inlineStr">
        <is>
          <t>RF-04, RF-05</t>
        </is>
      </c>
      <c r="E11" s="18" t="n">
        <v>10</v>
      </c>
      <c r="F11" s="19">
        <f>E11*Supuestos!$B$5</f>
        <v/>
      </c>
    </row>
    <row r="12">
      <c r="A12" s="12" t="inlineStr">
        <is>
          <t>1</t>
        </is>
      </c>
      <c r="B12" s="12" t="inlineStr">
        <is>
          <t>M1 Recordatorios</t>
        </is>
      </c>
      <c r="C12" s="12" t="inlineStr">
        <is>
          <t>Pantalla "Hoy y esta semana" y obligaciones precargadas</t>
        </is>
      </c>
      <c r="D12" s="12" t="inlineStr">
        <is>
          <t>RF-06, RF-07</t>
        </is>
      </c>
      <c r="E12" s="18" t="n">
        <v>10</v>
      </c>
      <c r="F12" s="19">
        <f>E12*Supuestos!$B$5</f>
        <v/>
      </c>
    </row>
    <row r="13">
      <c r="A13" s="12" t="inlineStr">
        <is>
          <t>1</t>
        </is>
      </c>
      <c r="B13" s="12" t="inlineStr">
        <is>
          <t>M1 Recordatorios</t>
        </is>
      </c>
      <c r="C13" s="12" t="inlineStr">
        <is>
          <t>Panel de administración con gráficas (avisos y cumplimiento)</t>
        </is>
      </c>
      <c r="D13" s="12" t="inlineStr">
        <is>
          <t>RF-05, RNF-04</t>
        </is>
      </c>
      <c r="E13" s="18" t="n">
        <v>20</v>
      </c>
      <c r="F13" s="19">
        <f>E13*Supuestos!$B$5</f>
        <v/>
      </c>
    </row>
    <row r="14">
      <c r="A14" s="12" t="inlineStr">
        <is>
          <t>1</t>
        </is>
      </c>
      <c r="B14" s="12" t="inlineStr">
        <is>
          <t>M2 Favorita</t>
        </is>
      </c>
      <c r="C14" s="12" t="inlineStr">
        <is>
          <t>Enlace semanal de oferta y avisos hasta el miércoles 19:00</t>
        </is>
      </c>
      <c r="D14" s="12" t="inlineStr">
        <is>
          <t>RF-08</t>
        </is>
      </c>
      <c r="E14" s="18" t="n">
        <v>8</v>
      </c>
      <c r="F14" s="19">
        <f>E14*Supuestos!$B$5</f>
        <v/>
      </c>
    </row>
    <row r="15">
      <c r="A15" s="12" t="inlineStr">
        <is>
          <t>1</t>
        </is>
      </c>
      <c r="B15" s="12" t="inlineStr">
        <is>
          <t>M2 Favorita</t>
        </is>
      </c>
      <c r="C15" s="12" t="inlineStr">
        <is>
          <t>Catálogo de productos ofertados y oferta lista para copiar</t>
        </is>
      </c>
      <c r="D15" s="12" t="inlineStr">
        <is>
          <t>RF-09, RF-10</t>
        </is>
      </c>
      <c r="E15" s="18" t="n">
        <v>14</v>
      </c>
      <c r="F15" s="19">
        <f>E15*Supuestos!$B$5</f>
        <v/>
      </c>
    </row>
    <row r="16">
      <c r="A16" s="12" t="inlineStr">
        <is>
          <t>1</t>
        </is>
      </c>
      <c r="B16" s="12" t="inlineStr">
        <is>
          <t>M2 Favorita</t>
        </is>
      </c>
      <c r="C16" s="12" t="inlineStr">
        <is>
          <t>Control de capacidad de buseta (100 javas)</t>
        </is>
      </c>
      <c r="D16" s="12" t="inlineStr">
        <is>
          <t>RF-11</t>
        </is>
      </c>
      <c r="E16" s="18" t="n">
        <v>4</v>
      </c>
      <c r="F16" s="19">
        <f>E16*Supuestos!$B$5</f>
        <v/>
      </c>
    </row>
    <row r="17">
      <c r="A17" s="12" t="inlineStr">
        <is>
          <t>1</t>
        </is>
      </c>
      <c r="B17" s="12" t="inlineStr">
        <is>
          <t>M2 Favorita</t>
        </is>
      </c>
      <c r="C17" s="12" t="inlineStr">
        <is>
          <t>Órdenes de compra, hora de entrega y alerta sin factura</t>
        </is>
      </c>
      <c r="D17" s="12" t="inlineStr">
        <is>
          <t>RF-12, RF-13</t>
        </is>
      </c>
      <c r="E17" s="18" t="n">
        <v>14</v>
      </c>
      <c r="F17" s="19">
        <f>E17*Supuestos!$B$5</f>
        <v/>
      </c>
    </row>
    <row r="18">
      <c r="A18" s="12" t="inlineStr">
        <is>
          <t>1</t>
        </is>
      </c>
      <c r="B18" s="12" t="inlineStr">
        <is>
          <t>M3 Pagos</t>
        </is>
      </c>
      <c r="C18" s="12" t="inlineStr">
        <is>
          <t>Préstamos y pagos recurrentes con aviso de transferencia</t>
        </is>
      </c>
      <c r="D18" s="12" t="inlineStr">
        <is>
          <t>RF-15, RF-16</t>
        </is>
      </c>
      <c r="E18" s="18" t="n">
        <v>14</v>
      </c>
      <c r="F18" s="19">
        <f>E18*Supuestos!$B$5</f>
        <v/>
      </c>
    </row>
    <row r="19">
      <c r="A19" s="12" t="inlineStr">
        <is>
          <t>1</t>
        </is>
      </c>
      <c r="B19" s="12" t="inlineStr">
        <is>
          <t>M3 Pagos</t>
        </is>
      </c>
      <c r="C19" s="12" t="inlineStr">
        <is>
          <t>Calendario mensual de pagos y total por semana</t>
        </is>
      </c>
      <c r="D19" s="12" t="inlineStr">
        <is>
          <t>RF-17</t>
        </is>
      </c>
      <c r="E19" s="18" t="n">
        <v>12</v>
      </c>
      <c r="F19" s="19">
        <f>E19*Supuestos!$B$5</f>
        <v/>
      </c>
    </row>
    <row r="20">
      <c r="A20" s="12" t="inlineStr">
        <is>
          <t>1</t>
        </is>
      </c>
      <c r="B20" s="12" t="inlineStr">
        <is>
          <t>M3 Pagos</t>
        </is>
      </c>
      <c r="C20" s="12" t="inlineStr">
        <is>
          <t>Registro de cheques posfechados</t>
        </is>
      </c>
      <c r="D20" s="12" t="inlineStr">
        <is>
          <t>RF-18</t>
        </is>
      </c>
      <c r="E20" s="18" t="n">
        <v>6</v>
      </c>
      <c r="F20" s="19">
        <f>E20*Supuestos!$B$5</f>
        <v/>
      </c>
    </row>
    <row r="21">
      <c r="A21" s="12" t="inlineStr">
        <is>
          <t>1</t>
        </is>
      </c>
      <c r="B21" s="12" t="inlineStr">
        <is>
          <t>M4 Proveedores</t>
        </is>
      </c>
      <c r="C21" s="12" t="inlineStr">
        <is>
          <t>Pedido diario de champiñón con corte 9:00 y alerta de fin de semana</t>
        </is>
      </c>
      <c r="D21" s="12" t="inlineStr">
        <is>
          <t>RF-19, RF-20</t>
        </is>
      </c>
      <c r="E21" s="18" t="n">
        <v>10</v>
      </c>
      <c r="F21" s="19">
        <f>E21*Supuestos!$B$5</f>
        <v/>
      </c>
    </row>
    <row r="22">
      <c r="A22" s="12" t="inlineStr">
        <is>
          <t>1</t>
        </is>
      </c>
      <c r="B22" s="12" t="inlineStr">
        <is>
          <t>M4 Proveedores</t>
        </is>
      </c>
      <c r="C22" s="12" t="inlineStr">
        <is>
          <t>Pedido de etiquetas e historial por proveedor</t>
        </is>
      </c>
      <c r="D22" s="12" t="inlineStr">
        <is>
          <t>RF-21, RF-22</t>
        </is>
      </c>
      <c r="E22" s="18" t="n">
        <v>10</v>
      </c>
      <c r="F22" s="19">
        <f>E22*Supuestos!$B$5</f>
        <v/>
      </c>
    </row>
    <row r="23">
      <c r="A23" s="12" t="inlineStr">
        <is>
          <t>2</t>
        </is>
      </c>
      <c r="B23" s="12" t="inlineStr">
        <is>
          <t>M5 Cobros</t>
        </is>
      </c>
      <c r="C23" s="12" t="inlineStr">
        <is>
          <t>Ventas a crédito informales y aviso de cobro vencido</t>
        </is>
      </c>
      <c r="D23" s="12" t="inlineStr">
        <is>
          <t>RF-23, RF-24</t>
        </is>
      </c>
      <c r="E23" s="18" t="n">
        <v>14</v>
      </c>
      <c r="F23" s="19">
        <f>E23*Supuestos!$B$5</f>
        <v/>
      </c>
    </row>
    <row r="24">
      <c r="A24" s="12" t="inlineStr">
        <is>
          <t>2</t>
        </is>
      </c>
      <c r="B24" s="12" t="inlineStr">
        <is>
          <t>M5 Cobros</t>
        </is>
      </c>
      <c r="C24" s="12" t="inlineStr">
        <is>
          <t>Saldos por cliente y plazo de nota de crédito</t>
        </is>
      </c>
      <c r="D24" s="12" t="inlineStr">
        <is>
          <t>RF-25, RF-26</t>
        </is>
      </c>
      <c r="E24" s="18" t="n">
        <v>8</v>
      </c>
      <c r="F24" s="19">
        <f>E24*Supuestos!$B$5</f>
        <v/>
      </c>
    </row>
    <row r="25">
      <c r="A25" s="12" t="inlineStr">
        <is>
          <t>2</t>
        </is>
      </c>
      <c r="B25" s="12" t="inlineStr">
        <is>
          <t>M5 Cobros</t>
        </is>
      </c>
      <c r="C25" s="12" t="inlineStr">
        <is>
          <t>Conciliación de pagos de Favorita</t>
        </is>
      </c>
      <c r="D25" s="12" t="inlineStr">
        <is>
          <t>RF-27</t>
        </is>
      </c>
      <c r="E25" s="18" t="n">
        <v>10</v>
      </c>
      <c r="F25" s="19">
        <f>E25*Supuestos!$B$5</f>
        <v/>
      </c>
    </row>
    <row r="26">
      <c r="A26" s="12" t="inlineStr">
        <is>
          <t>2</t>
        </is>
      </c>
      <c r="B26" s="12" t="inlineStr">
        <is>
          <t>M6 Producción</t>
        </is>
      </c>
      <c r="C26" s="12" t="inlineStr">
        <is>
          <t>Cálculo de grano a remojar y agenda de cocción</t>
        </is>
      </c>
      <c r="D26" s="12" t="inlineStr">
        <is>
          <t>RF-28, RF-29</t>
        </is>
      </c>
      <c r="E26" s="18" t="n">
        <v>10</v>
      </c>
      <c r="F26" s="19">
        <f>E26*Supuestos!$B$5</f>
        <v/>
      </c>
    </row>
    <row r="27">
      <c r="A27" s="12" t="inlineStr">
        <is>
          <t>2</t>
        </is>
      </c>
      <c r="B27" s="12" t="inlineStr">
        <is>
          <t>M6 Producción</t>
        </is>
      </c>
      <c r="C27" s="12" t="inlineStr">
        <is>
          <t>Rendimiento de champiñón por bandeja</t>
        </is>
      </c>
      <c r="D27" s="12" t="inlineStr">
        <is>
          <t>RF-30</t>
        </is>
      </c>
      <c r="E27" s="18" t="n">
        <v>6</v>
      </c>
      <c r="F27" s="19">
        <f>E27*Supuestos!$B$5</f>
        <v/>
      </c>
    </row>
    <row r="28">
      <c r="A28" s="12" t="inlineStr">
        <is>
          <t>3</t>
        </is>
      </c>
      <c r="B28" s="12" t="inlineStr">
        <is>
          <t>M7 Reportes</t>
        </is>
      </c>
      <c r="C28" s="12" t="inlineStr">
        <is>
          <t>Reporte de ventas de champiñón por periodo y cliente</t>
        </is>
      </c>
      <c r="D28" s="12" t="inlineStr">
        <is>
          <t>RF-31</t>
        </is>
      </c>
      <c r="E28" s="18" t="n">
        <v>14</v>
      </c>
      <c r="F28" s="19">
        <f>E28*Supuestos!$B$5</f>
        <v/>
      </c>
    </row>
    <row r="29">
      <c r="A29" s="12" t="inlineStr">
        <is>
          <t>3</t>
        </is>
      </c>
      <c r="B29" s="12" t="inlineStr">
        <is>
          <t>M7 Reportes</t>
        </is>
      </c>
      <c r="C29" s="12" t="inlineStr">
        <is>
          <t>Importación de Excel del facturador e historial 2019–2023</t>
        </is>
      </c>
      <c r="D29" s="12" t="inlineStr">
        <is>
          <t>RF-32</t>
        </is>
      </c>
      <c r="E29" s="18" t="n">
        <v>20</v>
      </c>
      <c r="F29" s="19">
        <f>E29*Supuestos!$B$5</f>
        <v/>
      </c>
    </row>
    <row r="30">
      <c r="A30" s="12" t="inlineStr">
        <is>
          <t>3</t>
        </is>
      </c>
      <c r="B30" s="12" t="inlineStr">
        <is>
          <t>M7 Reportes</t>
        </is>
      </c>
      <c r="C30" s="12" t="inlineStr">
        <is>
          <t>Sugerencia de pedido según historial</t>
        </is>
      </c>
      <c r="D30" s="12" t="inlineStr">
        <is>
          <t>RF-33</t>
        </is>
      </c>
      <c r="E30" s="18" t="n">
        <v>12</v>
      </c>
      <c r="F30" s="19">
        <f>E30*Supuestos!$B$5</f>
        <v/>
      </c>
    </row>
    <row r="31">
      <c r="A31" s="12" t="inlineStr">
        <is>
          <t>3</t>
        </is>
      </c>
      <c r="B31" s="12" t="inlineStr">
        <is>
          <t>M2 Favorita</t>
        </is>
      </c>
      <c r="C31" s="12" t="inlineStr">
        <is>
          <t>Llenado automático del formulario de oferta (si el formato lo permite)</t>
        </is>
      </c>
      <c r="D31" s="12" t="inlineStr">
        <is>
          <t>RF-14</t>
        </is>
      </c>
      <c r="E31" s="18" t="n">
        <v>16</v>
      </c>
      <c r="F31" s="19">
        <f>E31*Supuestos!$B$5</f>
        <v/>
      </c>
    </row>
    <row r="32">
      <c r="A32" s="12" t="inlineStr">
        <is>
          <t>Cierre</t>
        </is>
      </c>
      <c r="B32" s="12" t="inlineStr">
        <is>
          <t>Entrega</t>
        </is>
      </c>
      <c r="C32" s="12" t="inlineStr">
        <is>
          <t>Capacitación a Majo, Beto y Kelly</t>
        </is>
      </c>
      <c r="D32" s="12" t="inlineStr">
        <is>
          <t>RNF-02</t>
        </is>
      </c>
      <c r="E32" s="18" t="n">
        <v>8</v>
      </c>
      <c r="F32" s="19">
        <f>E32*Supuestos!$B$5</f>
        <v/>
      </c>
    </row>
    <row r="33">
      <c r="A33" s="12" t="inlineStr">
        <is>
          <t>Cierre</t>
        </is>
      </c>
      <c r="B33" s="12" t="inlineStr">
        <is>
          <t>Entrega</t>
        </is>
      </c>
      <c r="C33" s="12" t="inlineStr">
        <is>
          <t>Manual de uso sencillo</t>
        </is>
      </c>
      <c r="D33" s="12" t="inlineStr">
        <is>
          <t>RNF-02</t>
        </is>
      </c>
      <c r="E33" s="18" t="n">
        <v>6</v>
      </c>
      <c r="F33" s="19">
        <f>E33*Supuestos!$B$5</f>
        <v/>
      </c>
    </row>
    <row r="35">
      <c r="C35" s="20" t="inlineStr">
        <is>
          <t>Subtotal fase 0 – Inicio</t>
        </is>
      </c>
      <c r="D35" s="20" t="n"/>
      <c r="E35" s="21">
        <f>SUMIFS($E$5:$E$33,$A$5:$A$33,"0")</f>
        <v/>
      </c>
      <c r="F35" s="22">
        <f>E35*Supuestos!$B$5</f>
        <v/>
      </c>
    </row>
    <row r="36">
      <c r="C36" s="20" t="inlineStr">
        <is>
          <t>Subtotal fase 1 – M1 a M4</t>
        </is>
      </c>
      <c r="D36" s="20" t="n"/>
      <c r="E36" s="21">
        <f>SUMIFS($E$5:$E$33,$A$5:$A$33,"1")</f>
        <v/>
      </c>
      <c r="F36" s="22">
        <f>E36*Supuestos!$B$5</f>
        <v/>
      </c>
    </row>
    <row r="37">
      <c r="C37" s="20" t="inlineStr">
        <is>
          <t>Subtotal fase 2 – M5 y M6</t>
        </is>
      </c>
      <c r="D37" s="20" t="n"/>
      <c r="E37" s="21">
        <f>SUMIFS($E$5:$E$33,$A$5:$A$33,"2")</f>
        <v/>
      </c>
      <c r="F37" s="22">
        <f>E37*Supuestos!$B$5</f>
        <v/>
      </c>
    </row>
    <row r="38">
      <c r="C38" s="20" t="inlineStr">
        <is>
          <t>Subtotal fase 3 – M7 y RF-14</t>
        </is>
      </c>
      <c r="D38" s="20" t="n"/>
      <c r="E38" s="21">
        <f>SUMIFS($E$5:$E$33,$A$5:$A$33,"3")</f>
        <v/>
      </c>
      <c r="F38" s="22">
        <f>E38*Supuestos!$B$5</f>
        <v/>
      </c>
    </row>
    <row r="39">
      <c r="C39" s="20" t="inlineStr">
        <is>
          <t>Subtotal cierre – capacitación y manual</t>
        </is>
      </c>
      <c r="D39" s="20" t="n"/>
      <c r="E39" s="21">
        <f>SUMIFS($E$5:$E$33,$A$5:$A$33,"Cierre")</f>
        <v/>
      </c>
      <c r="F39" s="22">
        <f>E39*Supuestos!$B$5</f>
        <v/>
      </c>
    </row>
    <row r="40">
      <c r="C40" s="23" t="inlineStr">
        <is>
          <t>Horas de desarrollo</t>
        </is>
      </c>
      <c r="D40" s="23" t="n"/>
      <c r="E40" s="24">
        <f>SUM(E35:E39)</f>
        <v/>
      </c>
      <c r="F40" s="25">
        <f>E40*Supuestos!$B$5</f>
        <v/>
      </c>
    </row>
    <row r="41">
      <c r="C41" s="4" t="inlineStr">
        <is>
          <t>Pruebas y control de calidad</t>
        </is>
      </c>
      <c r="D41" s="4" t="n"/>
      <c r="E41" s="26">
        <f>E40*Supuestos!$B$6</f>
        <v/>
      </c>
      <c r="F41" s="27">
        <f>E41*Supuestos!$B$5</f>
        <v/>
      </c>
    </row>
    <row r="42">
      <c r="C42" s="4" t="inlineStr">
        <is>
          <t>Gestión del proyecto</t>
        </is>
      </c>
      <c r="D42" s="4" t="n"/>
      <c r="E42" s="26">
        <f>E40*Supuestos!$B$7</f>
        <v/>
      </c>
      <c r="F42" s="27">
        <f>E42*Supuestos!$B$5</f>
        <v/>
      </c>
    </row>
    <row r="43">
      <c r="C43" s="23" t="inlineStr">
        <is>
          <t>Subtotal</t>
        </is>
      </c>
      <c r="D43" s="23" t="n"/>
      <c r="E43" s="24">
        <f>E40+E41+E42</f>
        <v/>
      </c>
      <c r="F43" s="25">
        <f>F40+F41+F42</f>
        <v/>
      </c>
    </row>
    <row r="44">
      <c r="C44" s="4" t="inlineStr">
        <is>
          <t>Contingencia</t>
        </is>
      </c>
      <c r="D44" s="4" t="n"/>
      <c r="E44" s="26">
        <f>E43*Supuestos!$B$8</f>
        <v/>
      </c>
      <c r="F44" s="27">
        <f>F43*Supuestos!$B$8</f>
        <v/>
      </c>
    </row>
    <row r="45">
      <c r="C45" s="7" t="inlineStr">
        <is>
          <t>TOTAL ELABORACIÓN</t>
        </is>
      </c>
      <c r="D45" s="7" t="n"/>
      <c r="E45" s="8">
        <f>E43+E44</f>
        <v/>
      </c>
      <c r="F45" s="9">
        <f>F43+F44</f>
        <v/>
      </c>
    </row>
    <row r="47">
      <c r="A47" s="2" t="inlineStr">
        <is>
          <t>QA, gestión y contingencia se reparten entre fases en proporción a sus horas (ver hoja Resumen).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46" customWidth="1" min="4" max="4"/>
    <col width="16" customWidth="1" min="5" max="5"/>
  </cols>
  <sheetData>
    <row r="1">
      <c r="A1" s="1" t="inlineStr">
        <is>
          <t>Costo de mantenimiento (recurrente)</t>
        </is>
      </c>
    </row>
    <row r="2">
      <c r="A2" s="2" t="inlineStr">
        <is>
          <t>Dos escenarios. RNF-07 pide costo bajo; RNF-06 pide respaldo diario. Montos en USD.</t>
        </is>
      </c>
    </row>
    <row r="4">
      <c r="A4" s="3" t="inlineStr">
        <is>
          <t>Concepto</t>
        </is>
      </c>
      <c r="B4" s="3" t="inlineStr">
        <is>
          <t>Escenario económico</t>
        </is>
      </c>
      <c r="C4" s="3" t="inlineStr">
        <is>
          <t>Mensual econ. (USD)</t>
        </is>
      </c>
      <c r="D4" s="3" t="inlineStr">
        <is>
          <t>Escenario recomendado</t>
        </is>
      </c>
      <c r="E4" s="3" t="inlineStr">
        <is>
          <t>Mensual recom. (USD)</t>
        </is>
      </c>
    </row>
    <row r="5">
      <c r="A5" s="12" t="inlineStr">
        <is>
          <t>Hosting web (Vercel)</t>
        </is>
      </c>
      <c r="B5" s="12" t="inlineStr">
        <is>
          <t>Plan Hobby: gratis, pero solo uso no comercial</t>
        </is>
      </c>
      <c r="C5" s="28" t="n">
        <v>0</v>
      </c>
      <c r="D5" s="12" t="inlineStr">
        <is>
          <t>Plan Pro: uso comercial, cron cada minuto</t>
        </is>
      </c>
      <c r="E5" s="28" t="n">
        <v>20</v>
      </c>
    </row>
    <row r="6">
      <c r="A6" s="12" t="inlineStr">
        <is>
          <t>Base de datos e inicio de sesión (Supabase)</t>
        </is>
      </c>
      <c r="B6" s="12" t="inlineStr">
        <is>
          <t>Plan Free: 500 MB, sin respaldos automáticos</t>
        </is>
      </c>
      <c r="C6" s="28" t="n">
        <v>0</v>
      </c>
      <c r="D6" s="12" t="inlineStr">
        <is>
          <t>Plan Pro: 8 GB y respaldo diario automático (RNF-06)</t>
        </is>
      </c>
      <c r="E6" s="28" t="n">
        <v>25</v>
      </c>
    </row>
    <row r="7">
      <c r="A7" s="12" t="inlineStr">
        <is>
          <t>Respaldo diario de datos</t>
        </is>
      </c>
      <c r="B7" s="12" t="inlineStr">
        <is>
          <t>Script en GitHub Actions (gratis)</t>
        </is>
      </c>
      <c r="C7" s="28" t="n">
        <v>0</v>
      </c>
      <c r="D7" s="12" t="inlineStr">
        <is>
          <t>Incluido en Supabase Pro</t>
        </is>
      </c>
      <c r="E7" s="28" t="n">
        <v>0</v>
      </c>
    </row>
    <row r="8">
      <c r="A8" s="12" t="inlineStr">
        <is>
          <t>Programador de avisos (cron)</t>
        </is>
      </c>
      <c r="B8" s="12" t="inlineStr">
        <is>
          <t>cron-job.org cada 5 min (gratis)</t>
        </is>
      </c>
      <c r="C8" s="28" t="n">
        <v>0</v>
      </c>
      <c r="D8" s="12" t="inlineStr">
        <is>
          <t>Incluido en Vercel Pro</t>
        </is>
      </c>
      <c r="E8" s="28" t="n">
        <v>0</v>
      </c>
    </row>
    <row r="9">
      <c r="A9" s="12" t="inlineStr">
        <is>
          <t>Mensajes de WhatsApp (Meta Cloud API)</t>
        </is>
      </c>
      <c r="B9" s="12" t="inlineStr">
        <is>
          <t>Según volumen de la hoja Supuestos</t>
        </is>
      </c>
      <c r="C9" s="19">
        <f>Supuestos!$B$9*Supuestos!$B$10</f>
        <v/>
      </c>
      <c r="D9" s="12" t="inlineStr">
        <is>
          <t>Según volumen de la hoja Supuestos</t>
        </is>
      </c>
      <c r="E9" s="19">
        <f>Supuestos!$B$9*Supuestos!$B$10</f>
        <v/>
      </c>
    </row>
    <row r="10">
      <c r="A10" s="12" t="inlineStr">
        <is>
          <t>Dominio .com</t>
        </is>
      </c>
      <c r="B10" s="12" t="inlineStr">
        <is>
          <t>Prorrateo mensual</t>
        </is>
      </c>
      <c r="C10" s="19">
        <f>Supuestos!$B$13/12</f>
        <v/>
      </c>
      <c r="D10" s="12" t="inlineStr">
        <is>
          <t>Prorrateo mensual</t>
        </is>
      </c>
      <c r="E10" s="19">
        <f>Supuestos!$B$13/12</f>
        <v/>
      </c>
    </row>
    <row r="11">
      <c r="A11" s="12" t="inlineStr">
        <is>
          <t>Soporte y correcciones</t>
        </is>
      </c>
      <c r="B11" s="12" t="inlineStr">
        <is>
          <t>Horas al mes × tarifa</t>
        </is>
      </c>
      <c r="C11" s="19">
        <f>Supuestos!$B$11*Supuestos!$B$5</f>
        <v/>
      </c>
      <c r="D11" s="12" t="inlineStr">
        <is>
          <t>Horas al mes × tarifa</t>
        </is>
      </c>
      <c r="E11" s="19">
        <f>Supuestos!$B$12*Supuestos!$B$5</f>
        <v/>
      </c>
    </row>
    <row r="12">
      <c r="A12" s="11" t="inlineStr">
        <is>
          <t>Total mensual</t>
        </is>
      </c>
      <c r="B12" s="11" t="n"/>
      <c r="C12" s="11">
        <f>SUM(C5:C11)</f>
        <v/>
      </c>
      <c r="D12" s="11" t="n"/>
      <c r="E12" s="11">
        <f>SUM(E5:E11)</f>
        <v/>
      </c>
    </row>
    <row r="13">
      <c r="A13" s="9" t="inlineStr">
        <is>
          <t>Total anual</t>
        </is>
      </c>
      <c r="B13" s="9" t="n"/>
      <c r="C13" s="9">
        <f>C12*12</f>
        <v/>
      </c>
      <c r="D13" s="9" t="n"/>
      <c r="E13" s="9">
        <f>E12*12</f>
        <v/>
      </c>
    </row>
    <row r="15">
      <c r="A15" s="29" t="inlineStr">
        <is>
          <t>• Costos únicos de arranque: chip para número de WhatsApp Business ≈5 USD; verificación de la cuenta de Meta: gratis.</t>
        </is>
      </c>
    </row>
    <row r="16">
      <c r="A16" s="29" t="inlineStr">
        <is>
          <t>• Vercel Hobby prohíbe uso comercial: el escenario económico sirve para pruebas o arranque; para producción conviene Pro.</t>
        </is>
      </c>
    </row>
    <row r="17">
      <c r="A17" s="29" t="inlineStr">
        <is>
          <t>• Supabase Free pausa el proyecto tras 7 días sin actividad; el cron de avisos lo mantiene activo.</t>
        </is>
      </c>
    </row>
    <row r="18">
      <c r="A18" s="29" t="inlineStr">
        <is>
          <t>• Precios de Vercel, Supabase y Meta consultados al conocimiento de 2026; confirmar en sus páginas antes de contratar.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2026-10-27T18:13:28Z</dcterms:created>
  <dcterms:modified xsi:type="dcterms:W3CDTF">2026-10-27T18:13:28Z</dcterms:modified>
</cp:coreProperties>
</file>